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University\Magisterka\FJSSP-W-Competition\archive\sheets\"/>
    </mc:Choice>
  </mc:AlternateContent>
  <xr:revisionPtr revIDLastSave="0" documentId="8_{984CFE09-8599-43FD-B3C2-75EA5C4DDD2E}" xr6:coauthVersionLast="47" xr6:coauthVersionMax="47" xr10:uidLastSave="{00000000-0000-0000-0000-000000000000}"/>
  <bookViews>
    <workbookView xWindow="-120" yWindow="-120" windowWidth="29040" windowHeight="15840" activeTab="1" xr2:uid="{D2CDA3B8-7FFE-4840-AA3C-6D5BBA5C27AD}"/>
  </bookViews>
  <sheets>
    <sheet name="isntancje" sheetId="1" r:id="rId1"/>
    <sheet name="paramet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" i="1"/>
</calcChain>
</file>

<file path=xl/sharedStrings.xml><?xml version="1.0" encoding="utf-8"?>
<sst xmlns="http://schemas.openxmlformats.org/spreadsheetml/2006/main" count="73" uniqueCount="58">
  <si>
    <t>source</t>
  </si>
  <si>
    <t>n_operations</t>
  </si>
  <si>
    <t>flexibility</t>
  </si>
  <si>
    <t>duration_variety</t>
  </si>
  <si>
    <t>n_machines</t>
  </si>
  <si>
    <t>n_jobs</t>
  </si>
  <si>
    <t>d_max</t>
  </si>
  <si>
    <t>d_min</t>
  </si>
  <si>
    <t>d_average</t>
  </si>
  <si>
    <t>n_worker</t>
  </si>
  <si>
    <t>Fattahi14</t>
  </si>
  <si>
    <t>Kacem3</t>
  </si>
  <si>
    <t>Hurinksdata1</t>
  </si>
  <si>
    <t>Hurinkedata1</t>
  </si>
  <si>
    <t>Fattahi20</t>
  </si>
  <si>
    <t>Hurinkvdata5</t>
  </si>
  <si>
    <t>Hurinkedata6</t>
  </si>
  <si>
    <t>Behnke42</t>
  </si>
  <si>
    <t>Hurinkrdata50</t>
  </si>
  <si>
    <t>Kacem4</t>
  </si>
  <si>
    <t>Hurinksdata54</t>
  </si>
  <si>
    <t>Hurinksdata63</t>
  </si>
  <si>
    <t>Hurinksdata61</t>
  </si>
  <si>
    <t>Hurinksdata18</t>
  </si>
  <si>
    <t>BrandimarteMk7</t>
  </si>
  <si>
    <t>Behnke46</t>
  </si>
  <si>
    <t>Hurinkvdata18</t>
  </si>
  <si>
    <t>Hurinkrdata28</t>
  </si>
  <si>
    <t>ChambersBarnes10</t>
  </si>
  <si>
    <t>BrandimarteMk12</t>
  </si>
  <si>
    <t>DPpaulli1</t>
  </si>
  <si>
    <t>Hurinkvdata30</t>
  </si>
  <si>
    <t>Hurinksdata40</t>
  </si>
  <si>
    <t>BrandimarteMk14</t>
  </si>
  <si>
    <t>DPpaulli9</t>
  </si>
  <si>
    <t>Hurinksdata38</t>
  </si>
  <si>
    <t>Hurinkrdata38</t>
  </si>
  <si>
    <t>DPpaulli18</t>
  </si>
  <si>
    <t>DPpaulli15</t>
  </si>
  <si>
    <t>Behnke60</t>
  </si>
  <si>
    <t>d_amplitude</t>
  </si>
  <si>
    <t>instance_type</t>
  </si>
  <si>
    <t>typ instancji</t>
  </si>
  <si>
    <t>liczba pokoleń</t>
  </si>
  <si>
    <t>rozmiar populacji</t>
  </si>
  <si>
    <t>rozmiar selekcji</t>
  </si>
  <si>
    <t>p-stwo krzyżowania</t>
  </si>
  <si>
    <t>p-stwo mutacji</t>
  </si>
  <si>
    <t>mała</t>
  </si>
  <si>
    <t>średnia sztywna</t>
  </si>
  <si>
    <t>średnia swobodna</t>
  </si>
  <si>
    <t>duża</t>
  </si>
  <si>
    <t>największa</t>
  </si>
  <si>
    <t>typ eksperymentu</t>
  </si>
  <si>
    <t>deterministyczny</t>
  </si>
  <si>
    <t>niedeterministyczny - factor 2</t>
  </si>
  <si>
    <t>niedeterministyczny - factor 10</t>
  </si>
  <si>
    <t>niedeterministyczny - factor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</si>
</sst>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5129-DF17-4E96-971C-B11B54BE5BB7}">
  <dimension ref="A2:L32"/>
  <sheetViews>
    <sheetView workbookViewId="0">
      <selection activeCell="K32" sqref="A2:K32"/>
    </sheetView>
  </sheetViews>
  <sheetFormatPr defaultRowHeight="15" x14ac:dyDescent="0.25"/>
  <cols>
    <col min="1" max="1" width="21.140625" customWidth="1"/>
    <col min="2" max="2" width="14.140625" customWidth="1"/>
    <col min="3" max="3" width="16.7109375" customWidth="1"/>
    <col min="4" max="4" width="17" customWidth="1"/>
    <col min="5" max="5" width="13.140625" customWidth="1"/>
    <col min="7" max="7" width="13.5703125" customWidth="1"/>
    <col min="11" max="11" width="16.140625" customWidth="1"/>
    <col min="12" max="12" width="26" customWidth="1"/>
  </cols>
  <sheetData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4</v>
      </c>
      <c r="G2" t="s">
        <v>9</v>
      </c>
      <c r="H2" t="s">
        <v>6</v>
      </c>
      <c r="I2" t="s">
        <v>7</v>
      </c>
      <c r="J2" t="s">
        <v>40</v>
      </c>
      <c r="K2" t="s">
        <v>8</v>
      </c>
      <c r="L2" t="s">
        <v>41</v>
      </c>
    </row>
    <row r="3" spans="1:12" x14ac:dyDescent="0.25">
      <c r="A3" t="s">
        <v>10</v>
      </c>
      <c r="B3">
        <v>21</v>
      </c>
      <c r="C3">
        <v>0.203401</v>
      </c>
      <c r="D3">
        <v>0.47826099999999999</v>
      </c>
      <c r="E3">
        <v>7</v>
      </c>
      <c r="F3">
        <v>7</v>
      </c>
      <c r="G3">
        <v>10</v>
      </c>
      <c r="H3">
        <v>342</v>
      </c>
      <c r="I3">
        <v>49</v>
      </c>
      <c r="J3">
        <f>H3-I3</f>
        <v>293</v>
      </c>
      <c r="K3">
        <v>150.719064</v>
      </c>
    </row>
    <row r="4" spans="1:12" x14ac:dyDescent="0.25">
      <c r="A4" t="s">
        <v>11</v>
      </c>
      <c r="B4">
        <v>30</v>
      </c>
      <c r="C4">
        <v>0.52933300000000005</v>
      </c>
      <c r="D4">
        <v>1.0076E-2</v>
      </c>
      <c r="E4">
        <v>10</v>
      </c>
      <c r="F4">
        <v>10</v>
      </c>
      <c r="G4">
        <v>15</v>
      </c>
      <c r="H4">
        <v>24</v>
      </c>
      <c r="I4">
        <v>1</v>
      </c>
      <c r="J4">
        <f t="shared" ref="J4:J32" si="0">H4-I4</f>
        <v>23</v>
      </c>
      <c r="K4">
        <v>5.859362</v>
      </c>
    </row>
    <row r="5" spans="1:12" x14ac:dyDescent="0.25">
      <c r="A5" t="s">
        <v>12</v>
      </c>
      <c r="B5">
        <v>36</v>
      </c>
      <c r="C5">
        <v>9.4649999999999998E-2</v>
      </c>
      <c r="D5">
        <v>5.4348E-2</v>
      </c>
      <c r="E5">
        <v>6</v>
      </c>
      <c r="F5">
        <v>6</v>
      </c>
      <c r="G5">
        <v>9</v>
      </c>
      <c r="H5">
        <v>11</v>
      </c>
      <c r="I5">
        <v>1</v>
      </c>
      <c r="J5">
        <f t="shared" si="0"/>
        <v>10</v>
      </c>
      <c r="K5">
        <v>5.2989129999999998</v>
      </c>
    </row>
    <row r="6" spans="1:12" x14ac:dyDescent="0.25">
      <c r="A6" t="s">
        <v>13</v>
      </c>
      <c r="B6">
        <v>36</v>
      </c>
      <c r="C6">
        <v>0.117284</v>
      </c>
      <c r="D6">
        <v>4.3860000000000003E-2</v>
      </c>
      <c r="E6">
        <v>6</v>
      </c>
      <c r="F6">
        <v>6</v>
      </c>
      <c r="G6">
        <v>9</v>
      </c>
      <c r="H6">
        <v>11</v>
      </c>
      <c r="I6">
        <v>1</v>
      </c>
      <c r="J6">
        <f t="shared" si="0"/>
        <v>10</v>
      </c>
      <c r="K6">
        <v>4.8245610000000001</v>
      </c>
    </row>
    <row r="7" spans="1:12" x14ac:dyDescent="0.25">
      <c r="A7" t="s">
        <v>14</v>
      </c>
      <c r="B7">
        <v>48</v>
      </c>
      <c r="C7">
        <v>0.153863</v>
      </c>
      <c r="D7">
        <v>0.30606499999999998</v>
      </c>
      <c r="E7">
        <v>12</v>
      </c>
      <c r="F7">
        <v>8</v>
      </c>
      <c r="G7">
        <v>12</v>
      </c>
      <c r="H7">
        <v>393</v>
      </c>
      <c r="I7">
        <v>37</v>
      </c>
      <c r="J7">
        <f t="shared" si="0"/>
        <v>356</v>
      </c>
      <c r="K7">
        <v>161.61071899999999</v>
      </c>
    </row>
    <row r="8" spans="1:12" x14ac:dyDescent="0.25">
      <c r="A8" t="s">
        <v>15</v>
      </c>
      <c r="B8">
        <v>50</v>
      </c>
      <c r="C8">
        <v>0.33200000000000002</v>
      </c>
      <c r="D8">
        <v>0.16351099999999999</v>
      </c>
      <c r="E8">
        <v>10</v>
      </c>
      <c r="F8">
        <v>5</v>
      </c>
      <c r="G8">
        <v>7</v>
      </c>
      <c r="H8">
        <v>107</v>
      </c>
      <c r="I8">
        <v>11</v>
      </c>
      <c r="J8">
        <f t="shared" si="0"/>
        <v>96</v>
      </c>
      <c r="K8">
        <v>50.774526999999999</v>
      </c>
    </row>
    <row r="9" spans="1:12" x14ac:dyDescent="0.25">
      <c r="A9" t="s">
        <v>16</v>
      </c>
      <c r="B9">
        <v>50</v>
      </c>
      <c r="C9">
        <v>0.13828599999999999</v>
      </c>
      <c r="D9">
        <v>0.33471099999999998</v>
      </c>
      <c r="E9">
        <v>10</v>
      </c>
      <c r="F9">
        <v>5</v>
      </c>
      <c r="G9">
        <v>7</v>
      </c>
      <c r="H9">
        <v>98</v>
      </c>
      <c r="I9">
        <v>6</v>
      </c>
      <c r="J9">
        <f t="shared" si="0"/>
        <v>92</v>
      </c>
      <c r="K9">
        <v>44.396693999999997</v>
      </c>
    </row>
    <row r="10" spans="1:12" x14ac:dyDescent="0.25">
      <c r="A10" t="s">
        <v>17</v>
      </c>
      <c r="B10">
        <v>50</v>
      </c>
      <c r="C10">
        <v>0.1361</v>
      </c>
      <c r="D10">
        <v>6.8000000000000005E-4</v>
      </c>
      <c r="E10">
        <v>10</v>
      </c>
      <c r="F10">
        <v>60</v>
      </c>
      <c r="G10">
        <v>90</v>
      </c>
      <c r="H10">
        <v>33</v>
      </c>
      <c r="I10">
        <v>9</v>
      </c>
      <c r="J10">
        <f t="shared" si="0"/>
        <v>24</v>
      </c>
      <c r="K10">
        <v>19.659129</v>
      </c>
    </row>
    <row r="11" spans="1:12" x14ac:dyDescent="0.25">
      <c r="A11" t="s">
        <v>18</v>
      </c>
      <c r="B11">
        <v>52</v>
      </c>
      <c r="C11">
        <v>0.29006399999999999</v>
      </c>
      <c r="D11">
        <v>0.73480699999999999</v>
      </c>
      <c r="E11">
        <v>13</v>
      </c>
      <c r="F11">
        <v>4</v>
      </c>
      <c r="G11">
        <v>6</v>
      </c>
      <c r="H11">
        <v>1083</v>
      </c>
      <c r="I11">
        <v>11</v>
      </c>
      <c r="J11">
        <f t="shared" si="0"/>
        <v>1072</v>
      </c>
      <c r="K11">
        <v>443.95580100000001</v>
      </c>
    </row>
    <row r="12" spans="1:12" x14ac:dyDescent="0.25">
      <c r="A12" t="s">
        <v>19</v>
      </c>
      <c r="B12">
        <v>56</v>
      </c>
      <c r="C12">
        <v>0.53845200000000004</v>
      </c>
      <c r="D12">
        <v>1.4592000000000001E-2</v>
      </c>
      <c r="E12">
        <v>15</v>
      </c>
      <c r="F12">
        <v>10</v>
      </c>
      <c r="G12">
        <v>15</v>
      </c>
      <c r="H12">
        <v>93</v>
      </c>
      <c r="I12">
        <v>1</v>
      </c>
      <c r="J12">
        <f t="shared" si="0"/>
        <v>92</v>
      </c>
      <c r="K12">
        <v>5.9217329999999997</v>
      </c>
    </row>
    <row r="13" spans="1:12" x14ac:dyDescent="0.25">
      <c r="A13" t="s">
        <v>20</v>
      </c>
      <c r="B13">
        <v>72</v>
      </c>
      <c r="C13">
        <v>6.1016000000000001E-2</v>
      </c>
      <c r="D13">
        <v>0.731518</v>
      </c>
      <c r="E13">
        <v>8</v>
      </c>
      <c r="F13">
        <v>9</v>
      </c>
      <c r="G13">
        <v>13</v>
      </c>
      <c r="H13">
        <v>1092</v>
      </c>
      <c r="I13">
        <v>20</v>
      </c>
      <c r="J13">
        <f t="shared" si="0"/>
        <v>1072</v>
      </c>
      <c r="K13">
        <v>474.17315200000002</v>
      </c>
    </row>
    <row r="14" spans="1:12" x14ac:dyDescent="0.25">
      <c r="A14" t="s">
        <v>21</v>
      </c>
      <c r="B14">
        <v>99</v>
      </c>
      <c r="C14">
        <v>5.4073999999999997E-2</v>
      </c>
      <c r="D14">
        <v>6.8492999999999998E-2</v>
      </c>
      <c r="E14">
        <v>10</v>
      </c>
      <c r="F14">
        <v>10</v>
      </c>
      <c r="G14">
        <v>15</v>
      </c>
      <c r="H14">
        <v>62</v>
      </c>
      <c r="I14">
        <v>5</v>
      </c>
      <c r="J14">
        <f t="shared" si="0"/>
        <v>57</v>
      </c>
      <c r="K14">
        <v>23.408467999999999</v>
      </c>
    </row>
    <row r="15" spans="1:12" x14ac:dyDescent="0.25">
      <c r="A15" t="s">
        <v>22</v>
      </c>
      <c r="B15">
        <v>100</v>
      </c>
      <c r="C15">
        <v>4.8399999999999999E-2</v>
      </c>
      <c r="D15">
        <v>0.13636400000000001</v>
      </c>
      <c r="E15">
        <v>10</v>
      </c>
      <c r="F15">
        <v>10</v>
      </c>
      <c r="G15">
        <v>15</v>
      </c>
      <c r="H15">
        <v>105</v>
      </c>
      <c r="I15">
        <v>5</v>
      </c>
      <c r="J15">
        <f t="shared" si="0"/>
        <v>100</v>
      </c>
      <c r="K15">
        <v>48.958677999999999</v>
      </c>
    </row>
    <row r="16" spans="1:12" x14ac:dyDescent="0.25">
      <c r="A16" t="s">
        <v>23</v>
      </c>
      <c r="B16">
        <v>100</v>
      </c>
      <c r="C16">
        <v>0.117714</v>
      </c>
      <c r="D16">
        <v>0.240291</v>
      </c>
      <c r="E16">
        <v>20</v>
      </c>
      <c r="F16">
        <v>5</v>
      </c>
      <c r="G16">
        <v>7</v>
      </c>
      <c r="H16">
        <v>106</v>
      </c>
      <c r="I16">
        <v>6</v>
      </c>
      <c r="J16">
        <f t="shared" si="0"/>
        <v>100</v>
      </c>
      <c r="K16">
        <v>55.657767</v>
      </c>
    </row>
    <row r="17" spans="1:11" x14ac:dyDescent="0.25">
      <c r="A17" t="s">
        <v>24</v>
      </c>
      <c r="B17">
        <v>100</v>
      </c>
      <c r="C17">
        <v>0.31342900000000001</v>
      </c>
      <c r="D17">
        <v>1.9143E-2</v>
      </c>
      <c r="E17">
        <v>20</v>
      </c>
      <c r="F17">
        <v>5</v>
      </c>
      <c r="G17">
        <v>7</v>
      </c>
      <c r="H17">
        <v>21</v>
      </c>
      <c r="I17">
        <v>1</v>
      </c>
      <c r="J17">
        <f t="shared" si="0"/>
        <v>20</v>
      </c>
      <c r="K17">
        <v>10.043756</v>
      </c>
    </row>
    <row r="18" spans="1:11" x14ac:dyDescent="0.25">
      <c r="A18" t="s">
        <v>25</v>
      </c>
      <c r="B18">
        <v>100</v>
      </c>
      <c r="C18">
        <v>0.13361700000000001</v>
      </c>
      <c r="D18">
        <v>3.4600000000000001E-4</v>
      </c>
      <c r="E18">
        <v>20</v>
      </c>
      <c r="F18">
        <v>60</v>
      </c>
      <c r="G18">
        <v>90</v>
      </c>
      <c r="H18">
        <v>33</v>
      </c>
      <c r="I18">
        <v>9</v>
      </c>
      <c r="J18">
        <f t="shared" si="0"/>
        <v>24</v>
      </c>
      <c r="K18">
        <v>19.968705</v>
      </c>
    </row>
    <row r="19" spans="1:11" x14ac:dyDescent="0.25">
      <c r="A19" t="s">
        <v>26</v>
      </c>
      <c r="B19">
        <v>100</v>
      </c>
      <c r="C19">
        <v>0.30085699999999999</v>
      </c>
      <c r="D19">
        <v>9.8765000000000006E-2</v>
      </c>
      <c r="E19">
        <v>20</v>
      </c>
      <c r="F19">
        <v>5</v>
      </c>
      <c r="G19">
        <v>7</v>
      </c>
      <c r="H19">
        <v>108</v>
      </c>
      <c r="I19">
        <v>5</v>
      </c>
      <c r="J19">
        <f t="shared" si="0"/>
        <v>103</v>
      </c>
      <c r="K19">
        <v>53.760683999999998</v>
      </c>
    </row>
    <row r="20" spans="1:11" x14ac:dyDescent="0.25">
      <c r="A20" t="s">
        <v>27</v>
      </c>
      <c r="B20">
        <v>150</v>
      </c>
      <c r="C20">
        <v>0.112178</v>
      </c>
      <c r="D20">
        <v>4.1203999999999998E-2</v>
      </c>
      <c r="E20">
        <v>15</v>
      </c>
      <c r="F20">
        <v>10</v>
      </c>
      <c r="G20">
        <v>15</v>
      </c>
      <c r="H20">
        <v>108</v>
      </c>
      <c r="I20">
        <v>5</v>
      </c>
      <c r="J20">
        <f t="shared" si="0"/>
        <v>103</v>
      </c>
      <c r="K20">
        <v>50.541601</v>
      </c>
    </row>
    <row r="21" spans="1:11" x14ac:dyDescent="0.25">
      <c r="A21" t="s">
        <v>28</v>
      </c>
      <c r="B21">
        <v>150</v>
      </c>
      <c r="C21">
        <v>5.6085999999999997E-2</v>
      </c>
      <c r="D21">
        <v>5.0048000000000002E-2</v>
      </c>
      <c r="E21">
        <v>15</v>
      </c>
      <c r="F21">
        <v>13</v>
      </c>
      <c r="G21">
        <v>19</v>
      </c>
      <c r="H21">
        <v>109</v>
      </c>
      <c r="I21">
        <v>5</v>
      </c>
      <c r="J21">
        <f t="shared" si="0"/>
        <v>104</v>
      </c>
      <c r="K21">
        <v>54.177092999999999</v>
      </c>
    </row>
    <row r="22" spans="1:11" x14ac:dyDescent="0.25">
      <c r="A22" t="s">
        <v>29</v>
      </c>
      <c r="B22">
        <v>193</v>
      </c>
      <c r="C22">
        <v>7.8410999999999995E-2</v>
      </c>
      <c r="D22">
        <v>1.0573000000000001E-2</v>
      </c>
      <c r="E22">
        <v>30</v>
      </c>
      <c r="F22">
        <v>10</v>
      </c>
      <c r="G22">
        <v>15</v>
      </c>
      <c r="H22">
        <v>32</v>
      </c>
      <c r="I22">
        <v>9</v>
      </c>
      <c r="J22">
        <f t="shared" si="0"/>
        <v>23</v>
      </c>
      <c r="K22">
        <v>17.771806000000002</v>
      </c>
    </row>
    <row r="23" spans="1:11" x14ac:dyDescent="0.25">
      <c r="A23" t="s">
        <v>30</v>
      </c>
      <c r="B23">
        <v>196</v>
      </c>
      <c r="C23">
        <v>0.131633</v>
      </c>
      <c r="D23">
        <v>0.108527</v>
      </c>
      <c r="E23">
        <v>10</v>
      </c>
      <c r="F23">
        <v>5</v>
      </c>
      <c r="G23">
        <v>7</v>
      </c>
      <c r="H23">
        <v>108</v>
      </c>
      <c r="I23">
        <v>9</v>
      </c>
      <c r="J23">
        <f t="shared" si="0"/>
        <v>99</v>
      </c>
      <c r="K23">
        <v>57.58361</v>
      </c>
    </row>
    <row r="24" spans="1:11" x14ac:dyDescent="0.25">
      <c r="A24" t="s">
        <v>31</v>
      </c>
      <c r="B24">
        <v>200</v>
      </c>
      <c r="C24">
        <v>0.24726699999999999</v>
      </c>
      <c r="D24">
        <v>1.4154999999999999E-2</v>
      </c>
      <c r="E24">
        <v>20</v>
      </c>
      <c r="F24">
        <v>10</v>
      </c>
      <c r="G24">
        <v>15</v>
      </c>
      <c r="H24">
        <v>109</v>
      </c>
      <c r="I24">
        <v>5</v>
      </c>
      <c r="J24">
        <f t="shared" si="0"/>
        <v>104</v>
      </c>
      <c r="K24">
        <v>54.109732999999999</v>
      </c>
    </row>
    <row r="25" spans="1:11" x14ac:dyDescent="0.25">
      <c r="A25" t="s">
        <v>32</v>
      </c>
      <c r="B25">
        <v>225</v>
      </c>
      <c r="C25">
        <v>3.5285999999999998E-2</v>
      </c>
      <c r="D25">
        <v>3.9695000000000001E-2</v>
      </c>
      <c r="E25">
        <v>15</v>
      </c>
      <c r="F25">
        <v>15</v>
      </c>
      <c r="G25">
        <v>22</v>
      </c>
      <c r="H25">
        <v>108</v>
      </c>
      <c r="I25">
        <v>5</v>
      </c>
      <c r="J25">
        <f t="shared" si="0"/>
        <v>103</v>
      </c>
      <c r="K25">
        <v>55.059924000000002</v>
      </c>
    </row>
    <row r="26" spans="1:11" x14ac:dyDescent="0.25">
      <c r="A26" t="s">
        <v>33</v>
      </c>
      <c r="B26">
        <v>277</v>
      </c>
      <c r="C26">
        <v>5.2456000000000003E-2</v>
      </c>
      <c r="D26">
        <v>5.0049999999999999E-3</v>
      </c>
      <c r="E26">
        <v>30</v>
      </c>
      <c r="F26">
        <v>15</v>
      </c>
      <c r="G26">
        <v>22</v>
      </c>
      <c r="H26">
        <v>32</v>
      </c>
      <c r="I26">
        <v>9</v>
      </c>
      <c r="J26">
        <f t="shared" si="0"/>
        <v>23</v>
      </c>
      <c r="K26">
        <v>19.921793999999998</v>
      </c>
    </row>
    <row r="27" spans="1:11" x14ac:dyDescent="0.25">
      <c r="A27" t="s">
        <v>34</v>
      </c>
      <c r="B27">
        <v>293</v>
      </c>
      <c r="C27">
        <v>0.27143800000000001</v>
      </c>
      <c r="D27">
        <v>1.336E-2</v>
      </c>
      <c r="E27">
        <v>15</v>
      </c>
      <c r="F27">
        <v>8</v>
      </c>
      <c r="G27">
        <v>12</v>
      </c>
      <c r="H27">
        <v>110</v>
      </c>
      <c r="I27">
        <v>9</v>
      </c>
      <c r="J27">
        <f t="shared" si="0"/>
        <v>101</v>
      </c>
      <c r="K27">
        <v>57.273477</v>
      </c>
    </row>
    <row r="28" spans="1:11" x14ac:dyDescent="0.25">
      <c r="A28" t="s">
        <v>35</v>
      </c>
      <c r="B28">
        <v>300</v>
      </c>
      <c r="C28">
        <v>5.3199999999999997E-2</v>
      </c>
      <c r="D28">
        <v>4.3442000000000001E-2</v>
      </c>
      <c r="E28">
        <v>30</v>
      </c>
      <c r="F28">
        <v>10</v>
      </c>
      <c r="G28">
        <v>15</v>
      </c>
      <c r="H28">
        <v>108</v>
      </c>
      <c r="I28">
        <v>5</v>
      </c>
      <c r="J28">
        <f t="shared" si="0"/>
        <v>103</v>
      </c>
      <c r="K28">
        <v>50.855054000000003</v>
      </c>
    </row>
    <row r="29" spans="1:11" x14ac:dyDescent="0.25">
      <c r="A29" t="s">
        <v>36</v>
      </c>
      <c r="B29">
        <v>300</v>
      </c>
      <c r="C29">
        <v>0.10857799999999999</v>
      </c>
      <c r="D29">
        <v>2.1284999999999998E-2</v>
      </c>
      <c r="E29">
        <v>30</v>
      </c>
      <c r="F29">
        <v>10</v>
      </c>
      <c r="G29">
        <v>15</v>
      </c>
      <c r="H29">
        <v>108</v>
      </c>
      <c r="I29">
        <v>5</v>
      </c>
      <c r="J29">
        <f t="shared" si="0"/>
        <v>103</v>
      </c>
      <c r="K29">
        <v>52.781826000000002</v>
      </c>
    </row>
    <row r="30" spans="1:11" x14ac:dyDescent="0.25">
      <c r="A30" t="s">
        <v>37</v>
      </c>
      <c r="B30">
        <v>387</v>
      </c>
      <c r="C30">
        <v>0.26198100000000002</v>
      </c>
      <c r="D30">
        <v>6.5100000000000002E-3</v>
      </c>
      <c r="E30">
        <v>20</v>
      </c>
      <c r="F30">
        <v>10</v>
      </c>
      <c r="G30">
        <v>15</v>
      </c>
      <c r="H30">
        <v>108</v>
      </c>
      <c r="I30">
        <v>10</v>
      </c>
      <c r="J30">
        <f t="shared" si="0"/>
        <v>98</v>
      </c>
      <c r="K30">
        <v>55.209035</v>
      </c>
    </row>
    <row r="31" spans="1:11" x14ac:dyDescent="0.25">
      <c r="A31" t="s">
        <v>38</v>
      </c>
      <c r="B31">
        <v>387</v>
      </c>
      <c r="C31">
        <v>0.273092</v>
      </c>
      <c r="D31">
        <v>6.4339999999999996E-3</v>
      </c>
      <c r="E31">
        <v>20</v>
      </c>
      <c r="F31">
        <v>10</v>
      </c>
      <c r="G31">
        <v>15</v>
      </c>
      <c r="H31">
        <v>110</v>
      </c>
      <c r="I31">
        <v>9</v>
      </c>
      <c r="J31">
        <f t="shared" si="0"/>
        <v>101</v>
      </c>
      <c r="K31">
        <v>55.526651000000001</v>
      </c>
    </row>
    <row r="32" spans="1:11" x14ac:dyDescent="0.25">
      <c r="A32" t="s">
        <v>39</v>
      </c>
      <c r="B32">
        <v>500</v>
      </c>
      <c r="C32">
        <v>0.148919</v>
      </c>
      <c r="D32">
        <v>6.2000000000000003E-5</v>
      </c>
      <c r="E32">
        <v>100</v>
      </c>
      <c r="F32">
        <v>60</v>
      </c>
      <c r="G32">
        <v>90</v>
      </c>
      <c r="H32">
        <v>33</v>
      </c>
      <c r="I32">
        <v>9</v>
      </c>
      <c r="J32">
        <f t="shared" si="0"/>
        <v>24</v>
      </c>
      <c r="K32">
        <v>19.896023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A17D-F032-474D-85F0-263C40D8CD55}">
  <dimension ref="B2:H22"/>
  <sheetViews>
    <sheetView tabSelected="1" workbookViewId="0">
      <selection activeCell="B2" sqref="B2:H22"/>
    </sheetView>
  </sheetViews>
  <sheetFormatPr defaultRowHeight="15" x14ac:dyDescent="0.25"/>
  <cols>
    <col min="2" max="2" width="41.140625" customWidth="1"/>
    <col min="3" max="3" width="17.7109375" bestFit="1" customWidth="1"/>
    <col min="4" max="4" width="15" customWidth="1"/>
    <col min="5" max="5" width="16.85546875" bestFit="1" customWidth="1"/>
    <col min="6" max="6" width="15.140625" bestFit="1" customWidth="1"/>
    <col min="7" max="7" width="18.5703125" bestFit="1" customWidth="1"/>
    <col min="8" max="8" width="14.28515625" bestFit="1" customWidth="1"/>
  </cols>
  <sheetData>
    <row r="2" spans="2:8" x14ac:dyDescent="0.25">
      <c r="B2" t="s">
        <v>53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</row>
    <row r="3" spans="2:8" x14ac:dyDescent="0.25">
      <c r="B3" s="1" t="s">
        <v>54</v>
      </c>
      <c r="C3" t="s">
        <v>48</v>
      </c>
      <c r="D3">
        <v>125000</v>
      </c>
      <c r="E3">
        <v>40</v>
      </c>
      <c r="F3">
        <v>5</v>
      </c>
      <c r="G3">
        <v>0.1</v>
      </c>
      <c r="H3">
        <v>3.5000000000000003E-2</v>
      </c>
    </row>
    <row r="4" spans="2:8" x14ac:dyDescent="0.25">
      <c r="B4" s="1"/>
      <c r="C4" t="s">
        <v>49</v>
      </c>
      <c r="D4">
        <v>100000</v>
      </c>
      <c r="E4">
        <v>50</v>
      </c>
      <c r="F4">
        <v>5</v>
      </c>
      <c r="G4">
        <v>0.2</v>
      </c>
      <c r="H4">
        <v>2.5000000000000001E-2</v>
      </c>
    </row>
    <row r="5" spans="2:8" x14ac:dyDescent="0.25">
      <c r="B5" s="1"/>
      <c r="C5" t="s">
        <v>50</v>
      </c>
      <c r="D5">
        <v>100000</v>
      </c>
      <c r="E5">
        <v>50</v>
      </c>
      <c r="F5">
        <v>5</v>
      </c>
      <c r="G5">
        <v>0.2</v>
      </c>
      <c r="H5">
        <v>5.0000000000000001E-3</v>
      </c>
    </row>
    <row r="6" spans="2:8" x14ac:dyDescent="0.25">
      <c r="B6" s="1"/>
      <c r="C6" t="s">
        <v>51</v>
      </c>
      <c r="D6">
        <v>100000</v>
      </c>
      <c r="E6">
        <v>50</v>
      </c>
      <c r="F6">
        <v>5</v>
      </c>
      <c r="G6">
        <v>0.2</v>
      </c>
      <c r="H6">
        <v>5.0000000000000001E-3</v>
      </c>
    </row>
    <row r="7" spans="2:8" x14ac:dyDescent="0.25">
      <c r="B7" s="1"/>
      <c r="C7" t="s">
        <v>52</v>
      </c>
      <c r="D7">
        <v>100000</v>
      </c>
      <c r="E7">
        <v>50</v>
      </c>
      <c r="F7">
        <v>5</v>
      </c>
      <c r="G7">
        <v>0.2</v>
      </c>
      <c r="H7">
        <v>2.5000000000000001E-3</v>
      </c>
    </row>
    <row r="8" spans="2:8" x14ac:dyDescent="0.25">
      <c r="B8" s="1" t="s">
        <v>56</v>
      </c>
      <c r="C8" t="s">
        <v>48</v>
      </c>
      <c r="D8">
        <v>125000</v>
      </c>
      <c r="E8">
        <v>40</v>
      </c>
      <c r="F8">
        <v>5</v>
      </c>
      <c r="G8">
        <v>0.1</v>
      </c>
      <c r="H8">
        <v>3.5000000000000003E-2</v>
      </c>
    </row>
    <row r="9" spans="2:8" x14ac:dyDescent="0.25">
      <c r="B9" s="1"/>
      <c r="C9" t="s">
        <v>49</v>
      </c>
      <c r="D9">
        <v>100000</v>
      </c>
      <c r="E9">
        <v>50</v>
      </c>
      <c r="F9">
        <v>5</v>
      </c>
      <c r="G9">
        <v>0.2</v>
      </c>
      <c r="H9">
        <v>2.5000000000000001E-2</v>
      </c>
    </row>
    <row r="10" spans="2:8" x14ac:dyDescent="0.25">
      <c r="B10" s="1"/>
      <c r="C10" t="s">
        <v>50</v>
      </c>
      <c r="D10">
        <v>100000</v>
      </c>
      <c r="E10">
        <v>50</v>
      </c>
      <c r="F10">
        <v>5</v>
      </c>
      <c r="G10">
        <v>0.2</v>
      </c>
      <c r="H10">
        <v>5.0000000000000001E-3</v>
      </c>
    </row>
    <row r="11" spans="2:8" x14ac:dyDescent="0.25">
      <c r="B11" s="1"/>
      <c r="C11" t="s">
        <v>51</v>
      </c>
      <c r="D11">
        <v>100000</v>
      </c>
      <c r="E11">
        <v>50</v>
      </c>
      <c r="F11">
        <v>5</v>
      </c>
      <c r="G11">
        <v>0.2</v>
      </c>
      <c r="H11">
        <v>5.0000000000000001E-3</v>
      </c>
    </row>
    <row r="12" spans="2:8" x14ac:dyDescent="0.25">
      <c r="B12" s="1"/>
      <c r="C12" t="s">
        <v>52</v>
      </c>
      <c r="D12">
        <v>100000</v>
      </c>
      <c r="E12">
        <v>50</v>
      </c>
      <c r="F12">
        <v>5</v>
      </c>
      <c r="G12">
        <v>0.2</v>
      </c>
      <c r="H12">
        <v>2.5000000000000001E-3</v>
      </c>
    </row>
    <row r="13" spans="2:8" x14ac:dyDescent="0.25">
      <c r="B13" s="1" t="s">
        <v>57</v>
      </c>
      <c r="C13" t="s">
        <v>48</v>
      </c>
      <c r="D13">
        <v>125000</v>
      </c>
      <c r="E13">
        <v>40</v>
      </c>
      <c r="F13">
        <v>5</v>
      </c>
      <c r="G13">
        <v>0.1</v>
      </c>
      <c r="H13">
        <v>3.5000000000000003E-2</v>
      </c>
    </row>
    <row r="14" spans="2:8" x14ac:dyDescent="0.25">
      <c r="B14" s="1"/>
      <c r="C14" t="s">
        <v>49</v>
      </c>
      <c r="D14">
        <v>100000</v>
      </c>
      <c r="E14">
        <v>50</v>
      </c>
      <c r="F14">
        <v>5</v>
      </c>
      <c r="G14">
        <v>0.2</v>
      </c>
      <c r="H14">
        <v>2.5000000000000001E-2</v>
      </c>
    </row>
    <row r="15" spans="2:8" x14ac:dyDescent="0.25">
      <c r="B15" s="1"/>
      <c r="C15" t="s">
        <v>50</v>
      </c>
      <c r="D15">
        <v>100000</v>
      </c>
      <c r="E15">
        <v>50</v>
      </c>
      <c r="F15">
        <v>5</v>
      </c>
      <c r="G15">
        <v>0.2</v>
      </c>
      <c r="H15">
        <v>5.0000000000000001E-3</v>
      </c>
    </row>
    <row r="16" spans="2:8" x14ac:dyDescent="0.25">
      <c r="B16" s="1"/>
      <c r="C16" t="s">
        <v>51</v>
      </c>
      <c r="D16">
        <v>100000</v>
      </c>
      <c r="E16">
        <v>50</v>
      </c>
      <c r="F16">
        <v>5</v>
      </c>
      <c r="G16">
        <v>0.2</v>
      </c>
      <c r="H16">
        <v>5.0000000000000001E-3</v>
      </c>
    </row>
    <row r="17" spans="2:8" x14ac:dyDescent="0.25">
      <c r="B17" s="1"/>
      <c r="C17" t="s">
        <v>52</v>
      </c>
      <c r="D17">
        <v>100000</v>
      </c>
      <c r="E17">
        <v>50</v>
      </c>
      <c r="F17">
        <v>5</v>
      </c>
      <c r="G17">
        <v>0.2</v>
      </c>
      <c r="H17">
        <v>2.5000000000000001E-3</v>
      </c>
    </row>
    <row r="18" spans="2:8" x14ac:dyDescent="0.25">
      <c r="B18" s="1" t="s">
        <v>55</v>
      </c>
      <c r="C18" t="s">
        <v>48</v>
      </c>
      <c r="D18">
        <v>125000</v>
      </c>
      <c r="E18">
        <v>40</v>
      </c>
      <c r="F18">
        <v>5</v>
      </c>
      <c r="G18">
        <v>0.1</v>
      </c>
      <c r="H18">
        <v>3.5000000000000003E-2</v>
      </c>
    </row>
    <row r="19" spans="2:8" x14ac:dyDescent="0.25">
      <c r="B19" s="1"/>
      <c r="C19" t="s">
        <v>49</v>
      </c>
      <c r="D19">
        <v>100000</v>
      </c>
      <c r="E19">
        <v>50</v>
      </c>
      <c r="F19">
        <v>5</v>
      </c>
      <c r="G19">
        <v>0.2</v>
      </c>
      <c r="H19">
        <v>2.5000000000000001E-2</v>
      </c>
    </row>
    <row r="20" spans="2:8" x14ac:dyDescent="0.25">
      <c r="B20" s="1"/>
      <c r="C20" t="s">
        <v>50</v>
      </c>
      <c r="D20">
        <v>100000</v>
      </c>
      <c r="E20">
        <v>50</v>
      </c>
      <c r="F20">
        <v>5</v>
      </c>
      <c r="G20">
        <v>0.2</v>
      </c>
      <c r="H20">
        <v>5.0000000000000001E-3</v>
      </c>
    </row>
    <row r="21" spans="2:8" x14ac:dyDescent="0.25">
      <c r="B21" s="1"/>
      <c r="C21" t="s">
        <v>51</v>
      </c>
      <c r="D21">
        <v>100000</v>
      </c>
      <c r="E21">
        <v>50</v>
      </c>
      <c r="F21">
        <v>5</v>
      </c>
      <c r="G21">
        <v>0.2</v>
      </c>
      <c r="H21">
        <v>5.0000000000000001E-3</v>
      </c>
    </row>
    <row r="22" spans="2:8" x14ac:dyDescent="0.25">
      <c r="B22" s="1"/>
      <c r="C22" t="s">
        <v>52</v>
      </c>
      <c r="D22">
        <v>100000</v>
      </c>
      <c r="E22">
        <v>50</v>
      </c>
      <c r="F22">
        <v>5</v>
      </c>
      <c r="G22">
        <v>0.2</v>
      </c>
      <c r="H22">
        <v>2.5000000000000001E-3</v>
      </c>
    </row>
  </sheetData>
  <mergeCells count="4">
    <mergeCell ref="B3:B7"/>
    <mergeCell ref="B8:B12"/>
    <mergeCell ref="B13:B17"/>
    <mergeCell ref="B18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isntancje</vt:lpstr>
      <vt:lpstr>parametry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Skrzypiec (266567)</dc:creator>
  <cp:lastModifiedBy>Wojciech Skrzypiec (266567)</cp:lastModifiedBy>
  <dcterms:created xsi:type="dcterms:W3CDTF">2026-05-14T10:02:01Z</dcterms:created>
  <dcterms:modified xsi:type="dcterms:W3CDTF">2026-05-15T11:04:41Z</dcterms:modified>
</cp:coreProperties>
</file>