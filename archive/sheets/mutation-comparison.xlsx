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University\Magisterka\FJSSP-W-Competition\archive\sheets\"/>
    </mc:Choice>
  </mc:AlternateContent>
  <xr:revisionPtr revIDLastSave="0" documentId="13_ncr:1_{43F26F80-F270-4FD0-BA2A-1B8F561C13F2}" xr6:coauthVersionLast="47" xr6:coauthVersionMax="47" xr10:uidLastSave="{00000000-0000-0000-0000-000000000000}"/>
  <bookViews>
    <workbookView xWindow="28680" yWindow="-120" windowWidth="29040" windowHeight="15840" activeTab="1" xr2:uid="{AD37E8D4-2AE4-446F-8659-78A6B405E257}"/>
  </bookViews>
  <sheets>
    <sheet name="Mutations" sheetId="1" r:id="rId1"/>
    <sheet name="We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2" l="1"/>
  <c r="N4" i="2" s="1"/>
  <c r="O8" i="2"/>
  <c r="N8" i="2" s="1"/>
  <c r="O10" i="2"/>
  <c r="N10" i="2" s="1"/>
  <c r="O12" i="2"/>
  <c r="N12" i="2" s="1"/>
  <c r="O9" i="2"/>
  <c r="N9" i="2" s="1"/>
  <c r="O2" i="2"/>
  <c r="N2" i="2" s="1"/>
  <c r="O11" i="2"/>
  <c r="N11" i="2" s="1"/>
  <c r="O6" i="2"/>
  <c r="N6" i="2" s="1"/>
  <c r="O3" i="2"/>
  <c r="N3" i="2" s="1"/>
  <c r="O7" i="2"/>
  <c r="L7" i="2" s="1"/>
  <c r="O5" i="2"/>
  <c r="N5" i="2" s="1"/>
  <c r="H4" i="2" l="1"/>
  <c r="J4" i="2"/>
  <c r="F4" i="2"/>
  <c r="L4" i="2"/>
  <c r="D4" i="2"/>
  <c r="H8" i="2"/>
  <c r="F8" i="2"/>
  <c r="L8" i="2"/>
  <c r="D8" i="2"/>
  <c r="J8" i="2"/>
  <c r="H10" i="2"/>
  <c r="J10" i="2"/>
  <c r="D10" i="2"/>
  <c r="L10" i="2"/>
  <c r="F10" i="2"/>
  <c r="F12" i="2"/>
  <c r="J12" i="2"/>
  <c r="L12" i="2"/>
  <c r="D12" i="2"/>
  <c r="H12" i="2"/>
  <c r="L9" i="2"/>
  <c r="H9" i="2"/>
  <c r="J9" i="2"/>
  <c r="D9" i="2"/>
  <c r="F9" i="2"/>
  <c r="J2" i="2"/>
  <c r="L2" i="2"/>
  <c r="D2" i="2"/>
  <c r="F2" i="2"/>
  <c r="H2" i="2"/>
  <c r="L11" i="2"/>
  <c r="D11" i="2"/>
  <c r="F11" i="2"/>
  <c r="H11" i="2"/>
  <c r="J11" i="2"/>
  <c r="D5" i="2"/>
  <c r="H6" i="2"/>
  <c r="F5" i="2"/>
  <c r="H5" i="2"/>
  <c r="J5" i="2"/>
  <c r="L5" i="2"/>
  <c r="D6" i="2"/>
  <c r="F6" i="2"/>
  <c r="J6" i="2"/>
  <c r="L6" i="2"/>
  <c r="F7" i="2"/>
  <c r="N7" i="2"/>
  <c r="H7" i="2"/>
  <c r="D7" i="2"/>
  <c r="J7" i="2"/>
  <c r="F3" i="2"/>
  <c r="J3" i="2"/>
  <c r="L3" i="2"/>
  <c r="H3" i="2"/>
  <c r="D3" i="2"/>
</calcChain>
</file>

<file path=xl/sharedStrings.xml><?xml version="1.0" encoding="utf-8"?>
<sst xmlns="http://schemas.openxmlformats.org/spreadsheetml/2006/main" count="29" uniqueCount="24">
  <si>
    <t>Sequence</t>
  </si>
  <si>
    <t>Workers</t>
  </si>
  <si>
    <t>Machines</t>
  </si>
  <si>
    <t>Best</t>
  </si>
  <si>
    <t>Median 1</t>
  </si>
  <si>
    <t>Median 2</t>
  </si>
  <si>
    <t>Worst</t>
  </si>
  <si>
    <t>L.P</t>
  </si>
  <si>
    <t>Sequence Swap</t>
  </si>
  <si>
    <t>Machines Swap</t>
  </si>
  <si>
    <t>Workers Swap</t>
  </si>
  <si>
    <t>Sequence Move</t>
  </si>
  <si>
    <t>Machines Replace</t>
  </si>
  <si>
    <t>Workers Replace</t>
  </si>
  <si>
    <t>Sum of weights</t>
  </si>
  <si>
    <t>Prob</t>
  </si>
  <si>
    <t>Mutation Prob</t>
  </si>
  <si>
    <t>Crossover Prob</t>
  </si>
  <si>
    <t>Prob2</t>
  </si>
  <si>
    <t>Prob3</t>
  </si>
  <si>
    <t>Prob4</t>
  </si>
  <si>
    <t>Prob5</t>
  </si>
  <si>
    <t>Prob6</t>
  </si>
  <si>
    <t>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</si>
</sst>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2" xfId="0" applyBorder="1"/>
    <xf numFmtId="0" fontId="0" fillId="0" borderId="25" xfId="0" applyBorder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6" xfId="0" applyFont="1" applyFill="1" applyBorder="1"/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1" fillId="2" borderId="14" xfId="0" applyFont="1" applyFill="1" applyBorder="1"/>
    <xf numFmtId="0" fontId="1" fillId="2" borderId="27" xfId="0" applyFont="1" applyFill="1" applyBorder="1" applyAlignment="1">
      <alignment horizontal="center" vertical="center"/>
    </xf>
    <xf numFmtId="10" fontId="1" fillId="2" borderId="28" xfId="0" applyNumberFormat="1" applyFont="1" applyFill="1" applyBorder="1" applyAlignment="1">
      <alignment horizontal="center" vertical="center"/>
    </xf>
    <xf numFmtId="0" fontId="1" fillId="2" borderId="19" xfId="0" applyFont="1" applyFill="1" applyBorder="1"/>
    <xf numFmtId="0" fontId="0" fillId="0" borderId="0" xfId="0" applyBorder="1"/>
    <xf numFmtId="0" fontId="0" fillId="0" borderId="0" xfId="0" applyBorder="1" applyAlignment="1"/>
    <xf numFmtId="164" fontId="1" fillId="2" borderId="18" xfId="0" applyNumberFormat="1" applyFont="1" applyFill="1" applyBorder="1" applyAlignment="1">
      <alignment horizontal="left"/>
    </xf>
    <xf numFmtId="164" fontId="0" fillId="0" borderId="28" xfId="0" applyNumberFormat="1" applyBorder="1"/>
    <xf numFmtId="164" fontId="0" fillId="0" borderId="0" xfId="0" applyNumberFormat="1"/>
    <xf numFmtId="164" fontId="1" fillId="2" borderId="14" xfId="0" applyNumberFormat="1" applyFont="1" applyFill="1" applyBorder="1" applyAlignment="1">
      <alignment horizontal="left"/>
    </xf>
    <xf numFmtId="164" fontId="0" fillId="0" borderId="0" xfId="0" applyNumberFormat="1" applyBorder="1"/>
    <xf numFmtId="0" fontId="0" fillId="0" borderId="29" xfId="0" applyBorder="1"/>
    <xf numFmtId="0" fontId="0" fillId="0" borderId="2" xfId="0" applyBorder="1"/>
  </cellXfs>
  <cellStyles count="1">
    <cellStyle name="Normal" xfId="0" builtinId="0"/>
  </cellStyles>
  <dxfs count="47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48837-EA14-445D-A889-C0CAC5CB3BFE}" name="Table1" displayName="Table1" ref="E1:L9" totalsRowShown="0" headerRowDxfId="36" headerRowBorderDxfId="45" tableBorderDxfId="46">
  <autoFilter ref="E1:L9" xr:uid="{6A048837-EA14-445D-A889-C0CAC5CB3BFE}"/>
  <sortState xmlns:xlrd2="http://schemas.microsoft.com/office/spreadsheetml/2017/richdata2" ref="E2:L9">
    <sortCondition ref="K1:K9"/>
  </sortState>
  <tableColumns count="8">
    <tableColumn id="1" xr3:uid="{2DD18505-2F87-459F-95F6-E6D28D7E01D1}" name="L.P" dataDxfId="44"/>
    <tableColumn id="2" xr3:uid="{1E1E50C3-1220-4D60-B3CC-77C2DF1B10E2}" name="Sequence" dataDxfId="43"/>
    <tableColumn id="3" xr3:uid="{05280D8E-E074-4FA2-A955-2B1A769ACD8F}" name="Machines" dataDxfId="42"/>
    <tableColumn id="4" xr3:uid="{85D84B05-6429-4240-AB76-7AD9947152AB}" name="Workers" dataDxfId="41"/>
    <tableColumn id="5" xr3:uid="{4D8388BE-5172-41F4-950F-29D80E679C68}" name="Best" dataDxfId="40"/>
    <tableColumn id="6" xr3:uid="{3746950B-1B12-435A-B699-A782359E3831}" name="Median 1" dataDxfId="39"/>
    <tableColumn id="7" xr3:uid="{276F8222-1851-4106-AE2A-9FED43AE192F}" name="Median 2" dataDxfId="38"/>
    <tableColumn id="8" xr3:uid="{D33DFB60-FCCF-4B56-B67B-206E860151D6}" name="Worst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354B9-DDE4-4986-A11A-E5F1B412AE15}" name="Table2" displayName="Table2" ref="B1:U12" headerRowDxfId="33" dataDxfId="34" headerRowBorderDxfId="35" tableBorderDxfId="19">
  <autoFilter ref="B1:U12" xr:uid="{04B354B9-DDE4-4986-A11A-E5F1B412AE15}"/>
  <sortState xmlns:xlrd2="http://schemas.microsoft.com/office/spreadsheetml/2017/richdata2" ref="B2:U12">
    <sortCondition ref="T1:T12"/>
  </sortState>
  <tableColumns count="20">
    <tableColumn id="1" xr3:uid="{7026C69E-A942-4E22-82D6-AA8707BDA4C8}" name="L.P" totalsRowLabel="Total"/>
    <tableColumn id="2" xr3:uid="{B59265DD-B812-4A38-86F2-83E7FA45932B}" name="Sequence Swap" dataDxfId="18" totalsRowDxfId="20"/>
    <tableColumn id="3" xr3:uid="{6A281BE4-0B40-4360-819F-A077CB050C03}" name="Prob" dataDxfId="5">
      <calculatedColumnFormula>C2/$O2</calculatedColumnFormula>
    </tableColumn>
    <tableColumn id="4" xr3:uid="{8AF3A42C-63EA-4DAB-8477-8CD81A9D016D}" name="Machines Swap" dataDxfId="17" totalsRowDxfId="21"/>
    <tableColumn id="5" xr3:uid="{D335BD1E-0BF5-43C1-BB00-9F251DE45FFF}" name="Prob2" dataDxfId="4">
      <calculatedColumnFormula>E2/$O2</calculatedColumnFormula>
    </tableColumn>
    <tableColumn id="6" xr3:uid="{507A3B0C-B872-49C7-9616-3EB891A7D7C7}" name="Workers Swap" dataDxfId="16" totalsRowDxfId="22"/>
    <tableColumn id="7" xr3:uid="{BA78F784-3B1C-470F-9044-875FB9BF5CD5}" name="Prob3" dataDxfId="3">
      <calculatedColumnFormula>G2/$O2</calculatedColumnFormula>
    </tableColumn>
    <tableColumn id="8" xr3:uid="{47522985-63D1-425A-B27B-3D1BC9E362E2}" name="Sequence Move" dataDxfId="15" totalsRowDxfId="23"/>
    <tableColumn id="9" xr3:uid="{A30684AA-DD3C-4C58-B937-06CE67552C37}" name="Prob4" dataDxfId="2">
      <calculatedColumnFormula>I2/$O2</calculatedColumnFormula>
    </tableColumn>
    <tableColumn id="10" xr3:uid="{324A8914-C185-4A1F-BCBD-4C915A6AEEB4}" name="Machines Replace" dataDxfId="14" totalsRowDxfId="24"/>
    <tableColumn id="11" xr3:uid="{2506BF24-03F8-423D-8F4F-0668CF4015AC}" name="Prob5" dataDxfId="1">
      <calculatedColumnFormula>K2/$O2</calculatedColumnFormula>
    </tableColumn>
    <tableColumn id="12" xr3:uid="{4521C9E2-740A-418C-A2B7-450ADD8E2C68}" name="Workers Replace" dataDxfId="13" totalsRowDxfId="25"/>
    <tableColumn id="13" xr3:uid="{DEEE40E9-F08D-438C-ADE7-1E7A43450EA7}" name="Prob6" dataDxfId="0">
      <calculatedColumnFormula>M2/$O2</calculatedColumnFormula>
    </tableColumn>
    <tableColumn id="14" xr3:uid="{53B9423F-3864-480F-843C-A9EBCB950A86}" name="Sum of weights" dataDxfId="12" totalsRowDxfId="26">
      <calculatedColumnFormula>SUM(C2,E2,G2,I2,K2,M2)</calculatedColumnFormula>
    </tableColumn>
    <tableColumn id="15" xr3:uid="{73D65C6F-CA2C-42BA-9CE2-C24C5AEC76AF}" name="Crossover Prob" dataDxfId="11" totalsRowDxfId="27"/>
    <tableColumn id="16" xr3:uid="{910F079A-5488-4284-8CC3-A167AD0E8D07}" name="Mutation Prob" dataDxfId="10" totalsRowDxfId="28"/>
    <tableColumn id="17" xr3:uid="{01D0CF26-1031-4D44-9E1E-66ED15EBF2D9}" name="Best" dataDxfId="9" totalsRowDxfId="29"/>
    <tableColumn id="18" xr3:uid="{F957F2E1-9CA3-406E-A1E9-677673460EAA}" name="Median 1" dataDxfId="8" totalsRowDxfId="30"/>
    <tableColumn id="19" xr3:uid="{4D85038F-7F7C-42FC-B4F5-413B73284632}" name="Median 2" dataDxfId="7" totalsRowDxfId="31"/>
    <tableColumn id="20" xr3:uid="{603092DD-BD20-497A-84E7-F3F7C9253BB6}" name="Worst" totalsRowFunction="sum" dataDxfId="6" totalsRow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3CB4-845D-4397-B588-65E5493F95E2}">
  <dimension ref="C1:L9"/>
  <sheetViews>
    <sheetView zoomScaleNormal="100" workbookViewId="0">
      <selection activeCell="I13" sqref="I13"/>
    </sheetView>
  </sheetViews>
  <sheetFormatPr defaultRowHeight="15" x14ac:dyDescent="0.25"/>
  <cols>
    <col min="4" max="4" width="12.7109375" customWidth="1"/>
    <col min="5" max="5" width="7.85546875" customWidth="1"/>
    <col min="6" max="6" width="12" style="1" customWidth="1"/>
    <col min="7" max="7" width="11.85546875" style="1" customWidth="1"/>
    <col min="8" max="8" width="10.85546875" style="1" customWidth="1"/>
    <col min="9" max="9" width="10.28515625" customWidth="1"/>
    <col min="10" max="11" width="11.5703125" customWidth="1"/>
  </cols>
  <sheetData>
    <row r="1" spans="3:12" ht="15.75" thickBot="1" x14ac:dyDescent="0.3">
      <c r="E1" s="16" t="s">
        <v>7</v>
      </c>
      <c r="F1" s="17" t="s">
        <v>0</v>
      </c>
      <c r="G1" s="18" t="s">
        <v>2</v>
      </c>
      <c r="H1" s="19" t="s">
        <v>1</v>
      </c>
      <c r="I1" s="20" t="s">
        <v>3</v>
      </c>
      <c r="J1" s="21" t="s">
        <v>4</v>
      </c>
      <c r="K1" s="21" t="s">
        <v>5</v>
      </c>
      <c r="L1" s="22" t="s">
        <v>6</v>
      </c>
    </row>
    <row r="2" spans="3:12" ht="15.75" thickBot="1" x14ac:dyDescent="0.3">
      <c r="C2" s="54" t="s">
        <v>23</v>
      </c>
      <c r="E2" s="12">
        <v>5</v>
      </c>
      <c r="F2" s="8">
        <v>1</v>
      </c>
      <c r="G2" s="4">
        <v>0</v>
      </c>
      <c r="H2" s="9">
        <v>1</v>
      </c>
      <c r="I2" s="6">
        <v>1357</v>
      </c>
      <c r="J2" s="5">
        <v>1400</v>
      </c>
      <c r="K2" s="5">
        <v>1402</v>
      </c>
      <c r="L2" s="14">
        <v>1507</v>
      </c>
    </row>
    <row r="3" spans="3:12" ht="15.75" thickBot="1" x14ac:dyDescent="0.3">
      <c r="C3" s="55">
        <v>10</v>
      </c>
      <c r="E3" s="13">
        <v>0</v>
      </c>
      <c r="F3" s="10">
        <v>0</v>
      </c>
      <c r="G3" s="3">
        <v>0</v>
      </c>
      <c r="H3" s="11">
        <v>0</v>
      </c>
      <c r="I3" s="7">
        <v>1318</v>
      </c>
      <c r="J3" s="2">
        <v>1393</v>
      </c>
      <c r="K3" s="2">
        <v>1409</v>
      </c>
      <c r="L3" s="15">
        <v>1513</v>
      </c>
    </row>
    <row r="4" spans="3:12" x14ac:dyDescent="0.25">
      <c r="E4" s="13">
        <v>4</v>
      </c>
      <c r="F4" s="10">
        <v>1</v>
      </c>
      <c r="G4" s="3">
        <v>0</v>
      </c>
      <c r="H4" s="11">
        <v>0</v>
      </c>
      <c r="I4" s="7">
        <v>1374</v>
      </c>
      <c r="J4" s="2">
        <v>1384</v>
      </c>
      <c r="K4" s="2">
        <v>1413</v>
      </c>
      <c r="L4" s="15">
        <v>1515</v>
      </c>
    </row>
    <row r="5" spans="3:12" x14ac:dyDescent="0.25">
      <c r="E5" s="13">
        <v>1</v>
      </c>
      <c r="F5" s="10">
        <v>0</v>
      </c>
      <c r="G5" s="3">
        <v>0</v>
      </c>
      <c r="H5" s="11">
        <v>1</v>
      </c>
      <c r="I5" s="7">
        <v>1316</v>
      </c>
      <c r="J5" s="2">
        <v>1348</v>
      </c>
      <c r="K5" s="2">
        <v>1425</v>
      </c>
      <c r="L5" s="15">
        <v>1570</v>
      </c>
    </row>
    <row r="6" spans="3:12" x14ac:dyDescent="0.25">
      <c r="E6" s="13">
        <v>6</v>
      </c>
      <c r="F6" s="10">
        <v>1</v>
      </c>
      <c r="G6" s="3">
        <v>1</v>
      </c>
      <c r="H6" s="11">
        <v>0</v>
      </c>
      <c r="I6" s="7">
        <v>1352</v>
      </c>
      <c r="J6" s="2">
        <v>1480</v>
      </c>
      <c r="K6" s="2">
        <v>1485</v>
      </c>
      <c r="L6" s="15">
        <v>1580</v>
      </c>
    </row>
    <row r="7" spans="3:12" x14ac:dyDescent="0.25">
      <c r="E7" s="13">
        <v>2</v>
      </c>
      <c r="F7" s="10">
        <v>0</v>
      </c>
      <c r="G7" s="3">
        <v>1</v>
      </c>
      <c r="H7" s="11">
        <v>0</v>
      </c>
      <c r="I7" s="7">
        <v>1413</v>
      </c>
      <c r="J7" s="2">
        <v>1514</v>
      </c>
      <c r="K7" s="2">
        <v>1517</v>
      </c>
      <c r="L7" s="15">
        <v>1728</v>
      </c>
    </row>
    <row r="8" spans="3:12" x14ac:dyDescent="0.25">
      <c r="E8" s="13">
        <v>7</v>
      </c>
      <c r="F8" s="10">
        <v>1</v>
      </c>
      <c r="G8" s="3">
        <v>1</v>
      </c>
      <c r="H8" s="11">
        <v>1</v>
      </c>
      <c r="I8" s="7">
        <v>1387</v>
      </c>
      <c r="J8" s="2">
        <v>1518</v>
      </c>
      <c r="K8" s="2">
        <v>1524</v>
      </c>
      <c r="L8" s="15">
        <v>1626</v>
      </c>
    </row>
    <row r="9" spans="3:12" x14ac:dyDescent="0.25">
      <c r="E9" s="23">
        <v>3</v>
      </c>
      <c r="F9" s="24">
        <v>0</v>
      </c>
      <c r="G9" s="25">
        <v>1</v>
      </c>
      <c r="H9" s="26">
        <v>1</v>
      </c>
      <c r="I9" s="27">
        <v>1483</v>
      </c>
      <c r="J9" s="28">
        <v>1533</v>
      </c>
      <c r="K9" s="28">
        <v>1550</v>
      </c>
      <c r="L9" s="29">
        <v>1595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66BB-477A-4590-9DB0-8E14040A54B0}">
  <dimension ref="B1:U12"/>
  <sheetViews>
    <sheetView tabSelected="1" workbookViewId="0">
      <selection activeCell="S2" sqref="S2"/>
    </sheetView>
  </sheetViews>
  <sheetFormatPr defaultRowHeight="15" x14ac:dyDescent="0.25"/>
  <cols>
    <col min="3" max="3" width="17.28515625" style="30" customWidth="1"/>
    <col min="4" max="4" width="7.28515625" style="51" customWidth="1"/>
    <col min="5" max="5" width="16.85546875" style="30" customWidth="1"/>
    <col min="6" max="6" width="8.28515625" style="51" customWidth="1"/>
    <col min="7" max="7" width="15.85546875" style="30" customWidth="1"/>
    <col min="8" max="8" width="8.28515625" style="51" customWidth="1"/>
    <col min="9" max="9" width="17.42578125" style="30" customWidth="1"/>
    <col min="10" max="10" width="8.28515625" style="51" customWidth="1"/>
    <col min="11" max="11" width="19.42578125" style="30" customWidth="1"/>
    <col min="12" max="12" width="8.28515625" style="51" customWidth="1"/>
    <col min="13" max="13" width="18.42578125" style="30" customWidth="1"/>
    <col min="14" max="14" width="8.28515625" style="51" customWidth="1"/>
    <col min="15" max="15" width="16.85546875" style="30" customWidth="1"/>
    <col min="16" max="16" width="17" style="31" customWidth="1"/>
    <col min="17" max="17" width="15.7109375" style="31" customWidth="1"/>
    <col min="19" max="19" width="11.42578125" customWidth="1"/>
    <col min="20" max="20" width="11.140625" customWidth="1"/>
    <col min="21" max="21" width="10.28515625" customWidth="1"/>
  </cols>
  <sheetData>
    <row r="1" spans="2:21" ht="15.75" thickBot="1" x14ac:dyDescent="0.3">
      <c r="B1" s="43" t="s">
        <v>7</v>
      </c>
      <c r="C1" s="32" t="s">
        <v>8</v>
      </c>
      <c r="D1" s="49" t="s">
        <v>15</v>
      </c>
      <c r="E1" s="36" t="s">
        <v>9</v>
      </c>
      <c r="F1" s="52" t="s">
        <v>18</v>
      </c>
      <c r="G1" s="33" t="s">
        <v>10</v>
      </c>
      <c r="H1" s="49" t="s">
        <v>19</v>
      </c>
      <c r="I1" s="36" t="s">
        <v>11</v>
      </c>
      <c r="J1" s="52" t="s">
        <v>20</v>
      </c>
      <c r="K1" s="32" t="s">
        <v>12</v>
      </c>
      <c r="L1" s="49" t="s">
        <v>21</v>
      </c>
      <c r="M1" s="38" t="s">
        <v>13</v>
      </c>
      <c r="N1" s="52" t="s">
        <v>22</v>
      </c>
      <c r="O1" s="44" t="s">
        <v>14</v>
      </c>
      <c r="P1" s="40" t="s">
        <v>17</v>
      </c>
      <c r="Q1" s="45" t="s">
        <v>16</v>
      </c>
      <c r="R1" s="34" t="s">
        <v>3</v>
      </c>
      <c r="S1" s="35" t="s">
        <v>4</v>
      </c>
      <c r="T1" s="35" t="s">
        <v>5</v>
      </c>
      <c r="U1" s="46" t="s">
        <v>6</v>
      </c>
    </row>
    <row r="2" spans="2:21" x14ac:dyDescent="0.25">
      <c r="B2" s="47">
        <v>6</v>
      </c>
      <c r="C2" s="37">
        <v>12</v>
      </c>
      <c r="D2" s="50">
        <f>C2/$O2</f>
        <v>0.19672131147540983</v>
      </c>
      <c r="E2" s="41">
        <v>10</v>
      </c>
      <c r="F2" s="53">
        <f>E2/$O2</f>
        <v>0.16393442622950818</v>
      </c>
      <c r="G2" s="37">
        <v>11</v>
      </c>
      <c r="H2" s="50">
        <f>G2/$O2</f>
        <v>0.18032786885245902</v>
      </c>
      <c r="I2" s="41">
        <v>12</v>
      </c>
      <c r="J2" s="53">
        <f>I2/$O2</f>
        <v>0.19672131147540983</v>
      </c>
      <c r="K2" s="37">
        <v>5</v>
      </c>
      <c r="L2" s="50">
        <f>K2/$O2</f>
        <v>8.1967213114754092E-2</v>
      </c>
      <c r="M2" s="41">
        <v>11</v>
      </c>
      <c r="N2" s="53">
        <f>M2/$O2</f>
        <v>0.18032786885245902</v>
      </c>
      <c r="O2" s="37">
        <f>SUM(C2,E2,G2,I2,K2,M2)</f>
        <v>61</v>
      </c>
      <c r="P2" s="42">
        <v>0.05</v>
      </c>
      <c r="Q2" s="39">
        <v>3.5000000000000003E-2</v>
      </c>
      <c r="R2" s="48">
        <v>1321</v>
      </c>
      <c r="S2" s="48">
        <v>1363</v>
      </c>
      <c r="T2" s="48">
        <v>1367</v>
      </c>
      <c r="U2" s="48">
        <v>1414</v>
      </c>
    </row>
    <row r="3" spans="2:21" x14ac:dyDescent="0.25">
      <c r="B3" s="47">
        <v>3</v>
      </c>
      <c r="C3" s="37">
        <v>8</v>
      </c>
      <c r="D3" s="50">
        <f>C3/$O3</f>
        <v>0.14545454545454545</v>
      </c>
      <c r="E3" s="41">
        <v>10</v>
      </c>
      <c r="F3" s="53">
        <f>E3/$O3</f>
        <v>0.18181818181818182</v>
      </c>
      <c r="G3" s="37">
        <v>11</v>
      </c>
      <c r="H3" s="50">
        <f>G3/$O3</f>
        <v>0.2</v>
      </c>
      <c r="I3" s="41">
        <v>10</v>
      </c>
      <c r="J3" s="53">
        <f>I3/$O3</f>
        <v>0.18181818181818182</v>
      </c>
      <c r="K3" s="37">
        <v>5</v>
      </c>
      <c r="L3" s="50">
        <f>K3/$O3</f>
        <v>9.0909090909090912E-2</v>
      </c>
      <c r="M3" s="41">
        <v>11</v>
      </c>
      <c r="N3" s="53">
        <f>M3/$O3</f>
        <v>0.2</v>
      </c>
      <c r="O3" s="37">
        <f>SUM(C3,E3,G3,I3,K3,M3)</f>
        <v>55</v>
      </c>
      <c r="P3" s="42">
        <v>0.05</v>
      </c>
      <c r="Q3" s="39">
        <v>3.5000000000000003E-2</v>
      </c>
      <c r="R3" s="48">
        <v>1330</v>
      </c>
      <c r="S3" s="48">
        <v>1369</v>
      </c>
      <c r="T3" s="48">
        <v>1378</v>
      </c>
      <c r="U3" s="48">
        <v>1450</v>
      </c>
    </row>
    <row r="4" spans="2:21" x14ac:dyDescent="0.25">
      <c r="B4" s="47">
        <v>10</v>
      </c>
      <c r="C4" s="37">
        <v>25</v>
      </c>
      <c r="D4" s="50">
        <f>C4/$O4</f>
        <v>0.19230769230769232</v>
      </c>
      <c r="E4" s="41">
        <v>15</v>
      </c>
      <c r="F4" s="53">
        <f>E4/$O4</f>
        <v>0.11538461538461539</v>
      </c>
      <c r="G4" s="37">
        <v>25</v>
      </c>
      <c r="H4" s="50">
        <f>G4/$O4</f>
        <v>0.19230769230769232</v>
      </c>
      <c r="I4" s="41">
        <v>25</v>
      </c>
      <c r="J4" s="53">
        <f>I4/$O4</f>
        <v>0.19230769230769232</v>
      </c>
      <c r="K4" s="37">
        <v>15</v>
      </c>
      <c r="L4" s="50">
        <f>K4/$O4</f>
        <v>0.11538461538461539</v>
      </c>
      <c r="M4" s="41">
        <v>25</v>
      </c>
      <c r="N4" s="53">
        <f>M4/$O4</f>
        <v>0.19230769230769232</v>
      </c>
      <c r="O4" s="37">
        <f>SUM(C4,E4,G4,I4,K4,M4)</f>
        <v>130</v>
      </c>
      <c r="P4" s="42">
        <v>0.05</v>
      </c>
      <c r="Q4" s="39">
        <v>3.5000000000000003E-2</v>
      </c>
      <c r="R4" s="48">
        <v>1314</v>
      </c>
      <c r="S4" s="48">
        <v>1378</v>
      </c>
      <c r="T4" s="48">
        <v>1379</v>
      </c>
      <c r="U4" s="48">
        <v>1481</v>
      </c>
    </row>
    <row r="5" spans="2:21" x14ac:dyDescent="0.25">
      <c r="B5" s="47">
        <v>1</v>
      </c>
      <c r="C5" s="37">
        <v>10</v>
      </c>
      <c r="D5" s="50">
        <f>C5/$O5</f>
        <v>0.18181818181818182</v>
      </c>
      <c r="E5" s="41">
        <v>10</v>
      </c>
      <c r="F5" s="53">
        <f>E5/$O5</f>
        <v>0.18181818181818182</v>
      </c>
      <c r="G5" s="37">
        <v>10</v>
      </c>
      <c r="H5" s="50">
        <f>G5/$O5</f>
        <v>0.18181818181818182</v>
      </c>
      <c r="I5" s="41">
        <v>10</v>
      </c>
      <c r="J5" s="53">
        <f>I5/$O5</f>
        <v>0.18181818181818182</v>
      </c>
      <c r="K5" s="37">
        <v>5</v>
      </c>
      <c r="L5" s="50">
        <f>K5/$O5</f>
        <v>9.0909090909090912E-2</v>
      </c>
      <c r="M5" s="41">
        <v>10</v>
      </c>
      <c r="N5" s="53">
        <f>M5/$O5</f>
        <v>0.18181818181818182</v>
      </c>
      <c r="O5" s="37">
        <f>SUM(C5,E5,G5,I5,K5,M5)</f>
        <v>55</v>
      </c>
      <c r="P5" s="42">
        <v>0.05</v>
      </c>
      <c r="Q5" s="39">
        <v>3.5000000000000003E-2</v>
      </c>
      <c r="R5" s="48">
        <v>1324</v>
      </c>
      <c r="S5" s="48">
        <v>1363</v>
      </c>
      <c r="T5" s="48">
        <v>1379</v>
      </c>
      <c r="U5" s="48">
        <v>1524</v>
      </c>
    </row>
    <row r="6" spans="2:21" x14ac:dyDescent="0.25">
      <c r="B6" s="47">
        <v>2</v>
      </c>
      <c r="C6" s="37">
        <v>10</v>
      </c>
      <c r="D6" s="50">
        <f>C6/$O6</f>
        <v>0.17543859649122806</v>
      </c>
      <c r="E6" s="41">
        <v>10</v>
      </c>
      <c r="F6" s="53">
        <f>E6/$O6</f>
        <v>0.17543859649122806</v>
      </c>
      <c r="G6" s="37">
        <v>11</v>
      </c>
      <c r="H6" s="50">
        <f>G6/$O6</f>
        <v>0.19298245614035087</v>
      </c>
      <c r="I6" s="41">
        <v>10</v>
      </c>
      <c r="J6" s="53">
        <f>I6/$O6</f>
        <v>0.17543859649122806</v>
      </c>
      <c r="K6" s="37">
        <v>5</v>
      </c>
      <c r="L6" s="50">
        <f>K6/$O6</f>
        <v>8.771929824561403E-2</v>
      </c>
      <c r="M6" s="41">
        <v>11</v>
      </c>
      <c r="N6" s="53">
        <f>M6/$O6</f>
        <v>0.19298245614035087</v>
      </c>
      <c r="O6" s="37">
        <f>SUM(C6,E6,G6,I6,K6,M6)</f>
        <v>57</v>
      </c>
      <c r="P6" s="42">
        <v>0.05</v>
      </c>
      <c r="Q6" s="39">
        <v>3.5000000000000003E-2</v>
      </c>
      <c r="R6" s="48">
        <v>1282</v>
      </c>
      <c r="S6" s="48">
        <v>1376</v>
      </c>
      <c r="T6" s="48">
        <v>1380</v>
      </c>
      <c r="U6" s="48">
        <v>1458</v>
      </c>
    </row>
    <row r="7" spans="2:21" x14ac:dyDescent="0.25">
      <c r="B7" s="47">
        <v>4</v>
      </c>
      <c r="C7" s="37">
        <v>8</v>
      </c>
      <c r="D7" s="50">
        <f>C7/$O7</f>
        <v>0.14545454545454545</v>
      </c>
      <c r="E7" s="41">
        <v>10</v>
      </c>
      <c r="F7" s="53">
        <f>E7/$O7</f>
        <v>0.18181818181818182</v>
      </c>
      <c r="G7" s="37">
        <v>11</v>
      </c>
      <c r="H7" s="50">
        <f>G7/$O7</f>
        <v>0.2</v>
      </c>
      <c r="I7" s="41">
        <v>10</v>
      </c>
      <c r="J7" s="53">
        <f>I7/$O7</f>
        <v>0.18181818181818182</v>
      </c>
      <c r="K7" s="37">
        <v>5</v>
      </c>
      <c r="L7" s="50">
        <f>K7/$O7</f>
        <v>9.0909090909090912E-2</v>
      </c>
      <c r="M7" s="41">
        <v>11</v>
      </c>
      <c r="N7" s="53">
        <f>M7/$O7</f>
        <v>0.2</v>
      </c>
      <c r="O7" s="37">
        <f>SUM(C7,E7,G7,I7,K7,M7)</f>
        <v>55</v>
      </c>
      <c r="P7" s="42">
        <v>0.05</v>
      </c>
      <c r="Q7" s="39">
        <v>0.04</v>
      </c>
      <c r="R7" s="48">
        <v>1293</v>
      </c>
      <c r="S7" s="48">
        <v>1381</v>
      </c>
      <c r="T7" s="48">
        <v>1381</v>
      </c>
      <c r="U7" s="48">
        <v>1460</v>
      </c>
    </row>
    <row r="8" spans="2:21" x14ac:dyDescent="0.25">
      <c r="B8" s="47">
        <v>9</v>
      </c>
      <c r="C8" s="37">
        <v>15</v>
      </c>
      <c r="D8" s="50">
        <f>C8/$O8</f>
        <v>0.21428571428571427</v>
      </c>
      <c r="E8" s="41">
        <v>5</v>
      </c>
      <c r="F8" s="53">
        <f>E8/$O8</f>
        <v>7.1428571428571425E-2</v>
      </c>
      <c r="G8" s="37">
        <v>15</v>
      </c>
      <c r="H8" s="50">
        <f>G8/$O8</f>
        <v>0.21428571428571427</v>
      </c>
      <c r="I8" s="41">
        <v>15</v>
      </c>
      <c r="J8" s="53">
        <f>I8/$O8</f>
        <v>0.21428571428571427</v>
      </c>
      <c r="K8" s="37">
        <v>5</v>
      </c>
      <c r="L8" s="50">
        <f>K8/$O8</f>
        <v>7.1428571428571425E-2</v>
      </c>
      <c r="M8" s="41">
        <v>15</v>
      </c>
      <c r="N8" s="53">
        <f>M8/$O8</f>
        <v>0.21428571428571427</v>
      </c>
      <c r="O8" s="37">
        <f>SUM(C8,E8,G8,I8,K8,M8)</f>
        <v>70</v>
      </c>
      <c r="P8" s="42">
        <v>0.05</v>
      </c>
      <c r="Q8" s="39">
        <v>0.04</v>
      </c>
      <c r="R8" s="48">
        <v>1292</v>
      </c>
      <c r="S8" s="48">
        <v>1360</v>
      </c>
      <c r="T8" s="48">
        <v>1402</v>
      </c>
      <c r="U8" s="48">
        <v>1479</v>
      </c>
    </row>
    <row r="9" spans="2:21" x14ac:dyDescent="0.25">
      <c r="B9" s="47">
        <v>6</v>
      </c>
      <c r="C9" s="37">
        <v>10</v>
      </c>
      <c r="D9" s="50">
        <f>C9/$O9</f>
        <v>0.16666666666666666</v>
      </c>
      <c r="E9" s="41">
        <v>5</v>
      </c>
      <c r="F9" s="53">
        <f>E9/$O9</f>
        <v>8.3333333333333329E-2</v>
      </c>
      <c r="G9" s="37">
        <v>15</v>
      </c>
      <c r="H9" s="50">
        <f>G9/$O9</f>
        <v>0.25</v>
      </c>
      <c r="I9" s="41">
        <v>10</v>
      </c>
      <c r="J9" s="53">
        <f>I9/$O9</f>
        <v>0.16666666666666666</v>
      </c>
      <c r="K9" s="37">
        <v>5</v>
      </c>
      <c r="L9" s="50">
        <f>K9/$O9</f>
        <v>8.3333333333333329E-2</v>
      </c>
      <c r="M9" s="41">
        <v>15</v>
      </c>
      <c r="N9" s="53">
        <f>M9/$O9</f>
        <v>0.25</v>
      </c>
      <c r="O9" s="37">
        <f>SUM(C9,E9,G9,I9,K9,M9)</f>
        <v>60</v>
      </c>
      <c r="P9" s="42">
        <v>0.05</v>
      </c>
      <c r="Q9" s="39">
        <v>0.03</v>
      </c>
      <c r="R9" s="48">
        <v>1294</v>
      </c>
      <c r="S9" s="48">
        <v>1380</v>
      </c>
      <c r="T9" s="48">
        <v>1402</v>
      </c>
      <c r="U9" s="48">
        <v>1535</v>
      </c>
    </row>
    <row r="10" spans="2:21" x14ac:dyDescent="0.25">
      <c r="B10" s="47">
        <v>8</v>
      </c>
      <c r="C10" s="37">
        <v>15</v>
      </c>
      <c r="D10" s="50">
        <f>C10/$O10</f>
        <v>0.21428571428571427</v>
      </c>
      <c r="E10" s="41">
        <v>5</v>
      </c>
      <c r="F10" s="53">
        <f>E10/$O10</f>
        <v>7.1428571428571425E-2</v>
      </c>
      <c r="G10" s="37">
        <v>15</v>
      </c>
      <c r="H10" s="50">
        <f>G10/$O10</f>
        <v>0.21428571428571427</v>
      </c>
      <c r="I10" s="41">
        <v>15</v>
      </c>
      <c r="J10" s="53">
        <f>I10/$O10</f>
        <v>0.21428571428571427</v>
      </c>
      <c r="K10" s="37">
        <v>5</v>
      </c>
      <c r="L10" s="50">
        <f>K10/$O10</f>
        <v>7.1428571428571425E-2</v>
      </c>
      <c r="M10" s="41">
        <v>15</v>
      </c>
      <c r="N10" s="53">
        <f>M10/$O10</f>
        <v>0.21428571428571427</v>
      </c>
      <c r="O10" s="37">
        <f>SUM(C10,E10,G10,I10,K10,M10)</f>
        <v>70</v>
      </c>
      <c r="P10" s="42">
        <v>0.05</v>
      </c>
      <c r="Q10" s="39">
        <v>0.03</v>
      </c>
      <c r="R10" s="48">
        <v>1343</v>
      </c>
      <c r="S10" s="48">
        <v>1423</v>
      </c>
      <c r="T10" s="48">
        <v>1433</v>
      </c>
      <c r="U10" s="48">
        <v>1558</v>
      </c>
    </row>
    <row r="11" spans="2:21" x14ac:dyDescent="0.25">
      <c r="B11" s="47">
        <v>5</v>
      </c>
      <c r="C11" s="37">
        <v>8</v>
      </c>
      <c r="D11" s="50">
        <f>C11/$O11</f>
        <v>0.14545454545454545</v>
      </c>
      <c r="E11" s="41">
        <v>10</v>
      </c>
      <c r="F11" s="53">
        <f>E11/$O11</f>
        <v>0.18181818181818182</v>
      </c>
      <c r="G11" s="37">
        <v>11</v>
      </c>
      <c r="H11" s="50">
        <f>G11/$O11</f>
        <v>0.2</v>
      </c>
      <c r="I11" s="41">
        <v>10</v>
      </c>
      <c r="J11" s="53">
        <f>I11/$O11</f>
        <v>0.18181818181818182</v>
      </c>
      <c r="K11" s="37">
        <v>5</v>
      </c>
      <c r="L11" s="50">
        <f>K11/$O11</f>
        <v>9.0909090909090912E-2</v>
      </c>
      <c r="M11" s="41">
        <v>11</v>
      </c>
      <c r="N11" s="53">
        <f>M11/$O11</f>
        <v>0.2</v>
      </c>
      <c r="O11" s="37">
        <f>SUM(C11,E11,G11,I11,K11,M11)</f>
        <v>55</v>
      </c>
      <c r="P11" s="42">
        <v>0.05</v>
      </c>
      <c r="Q11" s="39">
        <v>0.03</v>
      </c>
      <c r="R11" s="48">
        <v>1305</v>
      </c>
      <c r="S11" s="48">
        <v>1399</v>
      </c>
      <c r="T11" s="48">
        <v>1435</v>
      </c>
      <c r="U11" s="48">
        <v>1489</v>
      </c>
    </row>
    <row r="12" spans="2:21" x14ac:dyDescent="0.25">
      <c r="B12" s="47">
        <v>7</v>
      </c>
      <c r="C12" s="37">
        <v>10</v>
      </c>
      <c r="D12" s="50">
        <f>C12/$O12</f>
        <v>0.16666666666666666</v>
      </c>
      <c r="E12" s="41">
        <v>5</v>
      </c>
      <c r="F12" s="53">
        <f>E12/$O12</f>
        <v>8.3333333333333329E-2</v>
      </c>
      <c r="G12" s="37">
        <v>15</v>
      </c>
      <c r="H12" s="50">
        <f>G12/$O12</f>
        <v>0.25</v>
      </c>
      <c r="I12" s="41">
        <v>10</v>
      </c>
      <c r="J12" s="53">
        <f>I12/$O12</f>
        <v>0.16666666666666666</v>
      </c>
      <c r="K12" s="37">
        <v>5</v>
      </c>
      <c r="L12" s="50">
        <f>K12/$O12</f>
        <v>8.3333333333333329E-2</v>
      </c>
      <c r="M12" s="41">
        <v>15</v>
      </c>
      <c r="N12" s="53">
        <f>M12/$O12</f>
        <v>0.25</v>
      </c>
      <c r="O12" s="37">
        <f>SUM(C12,E12,G12,I12,K12,M12)</f>
        <v>60</v>
      </c>
      <c r="P12" s="42">
        <v>0.05</v>
      </c>
      <c r="Q12" s="39">
        <v>0.02</v>
      </c>
      <c r="R12" s="48">
        <v>1298</v>
      </c>
      <c r="S12" s="48">
        <v>1443</v>
      </c>
      <c r="T12" s="48">
        <v>1457</v>
      </c>
      <c r="U12" s="48">
        <v>1729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Mutations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Skrzypiec (266567)</dc:creator>
  <cp:lastModifiedBy>Wojciech Skrzypiec (266567)</cp:lastModifiedBy>
  <dcterms:created xsi:type="dcterms:W3CDTF">2026-05-01T22:14:53Z</dcterms:created>
  <dcterms:modified xsi:type="dcterms:W3CDTF">2026-05-02T17:21:46Z</dcterms:modified>
</cp:coreProperties>
</file>